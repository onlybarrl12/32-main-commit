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00514202\Downloads\"/>
    </mc:Choice>
  </mc:AlternateContent>
  <xr:revisionPtr revIDLastSave="0" documentId="13_ncr:1_{BEAC19E4-586B-44A9-B2F4-1B6C6F6C15BE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1. Home Screen - Summary Report" sheetId="3" r:id="rId1"/>
    <sheet name="2. R&amp;M - Fund-wise Report" sheetId="4" r:id="rId2"/>
    <sheet name="3. R&amp;M - Compiled Report" sheetId="5" r:id="rId3"/>
    <sheet name="4. Power &amp; Fuel Report" sheetId="6" r:id="rId4"/>
    <sheet name="5. Chemical Report" sheetId="7" r:id="rId5"/>
    <sheet name="cost centre wise status report 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7" i="7" l="1"/>
  <c r="G7" i="7"/>
  <c r="F7" i="7"/>
  <c r="N6" i="7"/>
  <c r="K6" i="7"/>
  <c r="N5" i="7"/>
  <c r="K5" i="7"/>
  <c r="N4" i="7"/>
  <c r="N7" i="7" s="1"/>
  <c r="K4" i="7"/>
  <c r="K7" i="7" s="1"/>
  <c r="H8" i="6"/>
  <c r="G8" i="6"/>
  <c r="F8" i="6"/>
  <c r="N7" i="6"/>
  <c r="K7" i="6"/>
  <c r="N6" i="6"/>
  <c r="K6" i="6"/>
  <c r="N5" i="6"/>
  <c r="K5" i="6"/>
  <c r="N4" i="6"/>
  <c r="N8" i="6" s="1"/>
  <c r="K4" i="6"/>
  <c r="K8" i="6" s="1"/>
  <c r="Q4" i="5"/>
  <c r="N4" i="5"/>
  <c r="F22" i="3"/>
  <c r="F28" i="3" s="1"/>
  <c r="E22" i="3"/>
  <c r="E28" i="3" s="1"/>
  <c r="D22" i="3"/>
  <c r="D28" i="3" s="1"/>
  <c r="C22" i="3"/>
  <c r="C28" i="3" s="1"/>
  <c r="B22" i="3"/>
  <c r="B28" i="3" s="1"/>
</calcChain>
</file>

<file path=xl/sharedStrings.xml><?xml version="1.0" encoding="utf-8"?>
<sst xmlns="http://schemas.openxmlformats.org/spreadsheetml/2006/main" count="159" uniqueCount="89">
  <si>
    <t>Fund No.</t>
  </si>
  <si>
    <t>Civil</t>
  </si>
  <si>
    <t>Electrical</t>
  </si>
  <si>
    <t>Instrumentation</t>
  </si>
  <si>
    <t>Lube Oil</t>
  </si>
  <si>
    <t>Mainline</t>
  </si>
  <si>
    <t>Coat &amp; Wrap</t>
  </si>
  <si>
    <t>Mechanical</t>
  </si>
  <si>
    <t>Miscellaneous</t>
  </si>
  <si>
    <t>S.B.M./ Jetty</t>
  </si>
  <si>
    <t>Telecommunication</t>
  </si>
  <si>
    <t>Telesupervisory</t>
  </si>
  <si>
    <t>PF01</t>
  </si>
  <si>
    <t>Import of Power</t>
  </si>
  <si>
    <t>PF02</t>
  </si>
  <si>
    <t>Purchase of Power from Refinery</t>
  </si>
  <si>
    <t>PF03</t>
  </si>
  <si>
    <t>HSD</t>
  </si>
  <si>
    <t>PF04</t>
  </si>
  <si>
    <t>Crude Oil</t>
  </si>
  <si>
    <t>Chemical</t>
  </si>
  <si>
    <t>CH01</t>
  </si>
  <si>
    <t>Drag Reducing Agent</t>
  </si>
  <si>
    <t>CH02</t>
  </si>
  <si>
    <t>Corrosion Inhibitor</t>
  </si>
  <si>
    <t>CH03</t>
  </si>
  <si>
    <t>Servo PCI</t>
  </si>
  <si>
    <t>Pipeline</t>
  </si>
  <si>
    <t>Base/LOC</t>
  </si>
  <si>
    <t>PHBPL</t>
  </si>
  <si>
    <t>ERPL</t>
  </si>
  <si>
    <t>P5102</t>
  </si>
  <si>
    <t>ERPL_PHBPL Haldia Township</t>
  </si>
  <si>
    <t>Paradip Base</t>
  </si>
  <si>
    <t>P9101</t>
  </si>
  <si>
    <t>PRRPL_Paradip</t>
  </si>
  <si>
    <t>PRRPL</t>
  </si>
  <si>
    <t>Budget head</t>
  </si>
  <si>
    <t>LY Actual(FY 25-26)</t>
  </si>
  <si>
    <t>Approved BE(FY 26-27)</t>
  </si>
  <si>
    <t>YTD Acual(FY 26-27)</t>
  </si>
  <si>
    <t>RBE (FY 2026-27)</t>
  </si>
  <si>
    <t>BE (FY 2027-28)</t>
  </si>
  <si>
    <t>R&amp;M TOTAL</t>
  </si>
  <si>
    <t>Power &amp; Fuel</t>
  </si>
  <si>
    <t>GRAND TOTAL - ALL CATEGORIES</t>
  </si>
  <si>
    <t>Pipeline:</t>
  </si>
  <si>
    <t>Base:</t>
  </si>
  <si>
    <t>Operating Location</t>
  </si>
  <si>
    <t>Location Code</t>
  </si>
  <si>
    <t>Location Name</t>
  </si>
  <si>
    <t xml:space="preserve">Budget head </t>
  </si>
  <si>
    <t>Budget Sub head</t>
  </si>
  <si>
    <t>Budget Sub head No</t>
  </si>
  <si>
    <t>Filter as per database</t>
  </si>
  <si>
    <t>All Figs in Rs. Lakhs</t>
  </si>
  <si>
    <t>RBE FY 2026-27 (₹L)</t>
  </si>
  <si>
    <t>BE FY 2027-28 (₹L)</t>
  </si>
  <si>
    <t>Base</t>
  </si>
  <si>
    <t>Budget Sub head no</t>
  </si>
  <si>
    <t>Work Type</t>
  </si>
  <si>
    <t>Recurring / One-Time</t>
  </si>
  <si>
    <t>YTD Actual(FY 26-27)</t>
  </si>
  <si>
    <t>RBE Material</t>
  </si>
  <si>
    <t>RBE Service</t>
  </si>
  <si>
    <t>total</t>
  </si>
  <si>
    <t>BE Material</t>
  </si>
  <si>
    <t>BE Service</t>
  </si>
  <si>
    <t>User Justification</t>
  </si>
  <si>
    <t>Status</t>
  </si>
  <si>
    <t>RBE FY 2026-27</t>
  </si>
  <si>
    <t>BE FY 2027-28</t>
  </si>
  <si>
    <t>UOM</t>
  </si>
  <si>
    <t>LY Actual
(FY 25-26)</t>
  </si>
  <si>
    <t>Approved BE
(FY 26-27)</t>
  </si>
  <si>
    <t>YTD Actual
(FY 26-27)</t>
  </si>
  <si>
    <t>RBE Qty</t>
  </si>
  <si>
    <t>RBE Rate</t>
  </si>
  <si>
    <t>RBE Amount</t>
  </si>
  <si>
    <t>BE Qty</t>
  </si>
  <si>
    <t>BE Rate</t>
  </si>
  <si>
    <t>BE Amount</t>
  </si>
  <si>
    <t>TOTAL</t>
  </si>
  <si>
    <t>Pending with L2</t>
  </si>
  <si>
    <t xml:space="preserve">Cost centre </t>
  </si>
  <si>
    <t xml:space="preserve">Operating location </t>
  </si>
  <si>
    <t>Company code</t>
  </si>
  <si>
    <t>Current Approval Stage</t>
  </si>
  <si>
    <t>this need to be shown in home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</si>
</sst>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\-"/>
  </numFmts>
  <fonts count="14" x14ac:knownFonts="1">
    <font>
      <sz val="11"/>
      <color theme="1"/>
      <name val="Calibri"/>
      <family val="2"/>
      <charset val="1"/>
    </font>
    <font>
      <b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0000FF"/>
      <name val="Arial"/>
      <family val="2"/>
      <charset val="1"/>
    </font>
    <font>
      <i/>
      <sz val="9"/>
      <color rgb="FF555555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theme="1"/>
      <name val="IBM Plex Sans"/>
      <charset val="1"/>
    </font>
    <font>
      <i/>
      <sz val="9"/>
      <color rgb="FF555555"/>
      <name val="Arial"/>
      <family val="2"/>
    </font>
    <font>
      <b/>
      <sz val="9"/>
      <color rgb="FF000000"/>
      <name val="Arial"/>
      <family val="2"/>
    </font>
    <font>
      <sz val="9"/>
      <color rgb="FF555555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rgb="FF0000FF"/>
      <name val="Arial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3B1A6B"/>
        <bgColor rgb="FF333333"/>
      </patternFill>
    </fill>
    <fill>
      <patternFill patternType="solid">
        <fgColor rgb="FFEDE9F7"/>
        <bgColor rgb="FFFEE2E2"/>
      </patternFill>
    </fill>
    <fill>
      <patternFill patternType="solid">
        <fgColor rgb="FFEA580C"/>
        <bgColor rgb="FFFF8080"/>
      </patternFill>
    </fill>
    <fill>
      <patternFill patternType="solid">
        <fgColor rgb="FFECFDF5"/>
        <bgColor rgb="FFFFFFFF"/>
      </patternFill>
    </fill>
    <fill>
      <patternFill patternType="solid">
        <fgColor rgb="FFFFFBEB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8" fillId="3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5" fillId="3" borderId="1" xfId="0" applyFont="1" applyFill="1" applyBorder="1"/>
    <xf numFmtId="164" fontId="5" fillId="3" borderId="1" xfId="0" applyNumberFormat="1" applyFont="1" applyFill="1" applyBorder="1"/>
    <xf numFmtId="164" fontId="2" fillId="3" borderId="1" xfId="0" applyNumberFormat="1" applyFont="1" applyFill="1" applyBorder="1"/>
    <xf numFmtId="0" fontId="0" fillId="0" borderId="1" xfId="0" applyBorder="1"/>
    <xf numFmtId="164" fontId="2" fillId="0" borderId="1" xfId="0" applyNumberFormat="1" applyFont="1" applyBorder="1"/>
    <xf numFmtId="0" fontId="1" fillId="4" borderId="1" xfId="0" applyFont="1" applyFill="1" applyBorder="1"/>
    <xf numFmtId="164" fontId="1" fillId="4" borderId="1" xfId="0" applyNumberFormat="1" applyFont="1" applyFill="1" applyBorder="1"/>
    <xf numFmtId="0" fontId="5" fillId="0" borderId="0" xfId="0" applyFont="1"/>
    <xf numFmtId="0" fontId="6" fillId="0" borderId="0" xfId="0" applyFont="1"/>
    <xf numFmtId="0" fontId="2" fillId="5" borderId="1" xfId="0" applyFont="1" applyFill="1" applyBorder="1"/>
    <xf numFmtId="0" fontId="3" fillId="5" borderId="1" xfId="0" applyFont="1" applyFill="1" applyBorder="1"/>
    <xf numFmtId="164" fontId="0" fillId="5" borderId="1" xfId="0" applyNumberFormat="1" applyFill="1" applyBorder="1"/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right"/>
    </xf>
    <xf numFmtId="0" fontId="10" fillId="2" borderId="2" xfId="0" applyFont="1" applyFill="1" applyBorder="1" applyAlignment="1">
      <alignment horizontal="center" vertical="center" wrapText="1"/>
    </xf>
    <xf numFmtId="0" fontId="11" fillId="5" borderId="2" xfId="0" applyFont="1" applyFill="1" applyBorder="1"/>
    <xf numFmtId="0" fontId="12" fillId="5" borderId="2" xfId="0" applyFont="1" applyFill="1" applyBorder="1"/>
    <xf numFmtId="164" fontId="11" fillId="5" borderId="2" xfId="0" applyNumberFormat="1" applyFont="1" applyFill="1" applyBorder="1"/>
    <xf numFmtId="0" fontId="11" fillId="6" borderId="2" xfId="0" applyFont="1" applyFill="1" applyBorder="1"/>
    <xf numFmtId="0" fontId="12" fillId="6" borderId="2" xfId="0" applyFont="1" applyFill="1" applyBorder="1"/>
    <xf numFmtId="164" fontId="11" fillId="6" borderId="2" xfId="0" applyNumberFormat="1" applyFont="1" applyFill="1" applyBorder="1"/>
    <xf numFmtId="0" fontId="8" fillId="3" borderId="2" xfId="0" applyFont="1" applyFill="1" applyBorder="1"/>
    <xf numFmtId="164" fontId="8" fillId="3" borderId="2" xfId="0" applyNumberFormat="1" applyFont="1" applyFill="1" applyBorder="1"/>
    <xf numFmtId="0" fontId="8" fillId="3" borderId="3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EB"/>
      <rgbColor rgb="FFECFD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9F7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EA580C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B1A6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28440</xdr:colOff>
      <xdr:row>0</xdr:row>
      <xdr:rowOff>19080</xdr:rowOff>
    </xdr:from>
    <xdr:to>
      <xdr:col>5</xdr:col>
      <xdr:colOff>228240</xdr:colOff>
      <xdr:row>7</xdr:row>
      <xdr:rowOff>169560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440" y="19080"/>
          <a:ext cx="6120720" cy="14839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8"/>
  <sheetViews>
    <sheetView zoomScaleNormal="100" workbookViewId="0">
      <pane ySplit="11" topLeftCell="A12" activePane="bottomLeft" state="frozen"/>
      <selection pane="bottomLeft" activeCell="I18" sqref="I18:O23"/>
    </sheetView>
  </sheetViews>
  <sheetFormatPr defaultColWidth="8.7109375" defaultRowHeight="15" x14ac:dyDescent="0.25"/>
  <cols>
    <col min="1" max="1" width="16.28515625" customWidth="1"/>
    <col min="2" max="2" width="14.28515625" customWidth="1"/>
    <col min="3" max="3" width="18.5703125" customWidth="1"/>
    <col min="4" max="4" width="18" customWidth="1"/>
    <col min="5" max="5" width="16.85546875" customWidth="1"/>
    <col min="6" max="6" width="17.28515625" customWidth="1"/>
  </cols>
  <sheetData>
    <row r="1" spans="1:6" x14ac:dyDescent="0.25">
      <c r="A1" s="5"/>
      <c r="F1" s="6"/>
    </row>
    <row r="2" spans="1:6" x14ac:dyDescent="0.25">
      <c r="A2" s="5"/>
      <c r="F2" s="6"/>
    </row>
    <row r="3" spans="1:6" x14ac:dyDescent="0.25">
      <c r="A3" s="5"/>
      <c r="F3" s="6"/>
    </row>
    <row r="4" spans="1:6" x14ac:dyDescent="0.25">
      <c r="A4" s="5"/>
      <c r="F4" s="6"/>
    </row>
    <row r="5" spans="1:6" x14ac:dyDescent="0.25">
      <c r="A5" s="5"/>
      <c r="F5" s="6"/>
    </row>
    <row r="6" spans="1:6" x14ac:dyDescent="0.25">
      <c r="A6" s="5"/>
      <c r="F6" s="6"/>
    </row>
    <row r="7" spans="1:6" x14ac:dyDescent="0.25">
      <c r="A7" s="5"/>
      <c r="F7" s="6"/>
    </row>
    <row r="8" spans="1:6" x14ac:dyDescent="0.25">
      <c r="A8" s="5"/>
      <c r="F8" s="6"/>
    </row>
    <row r="9" spans="1:6" x14ac:dyDescent="0.25">
      <c r="A9" s="5"/>
      <c r="F9" s="6"/>
    </row>
    <row r="10" spans="1:6" x14ac:dyDescent="0.25">
      <c r="A10" s="5"/>
      <c r="F10" s="6"/>
    </row>
    <row r="11" spans="1:6" ht="24" customHeight="1" x14ac:dyDescent="0.25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41</v>
      </c>
      <c r="F11" s="2" t="s">
        <v>42</v>
      </c>
    </row>
    <row r="12" spans="1:6" x14ac:dyDescent="0.25">
      <c r="A12" s="7" t="s">
        <v>5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</row>
    <row r="13" spans="1:6" x14ac:dyDescent="0.25">
      <c r="A13" s="7" t="s">
        <v>9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</row>
    <row r="14" spans="1:6" x14ac:dyDescent="0.25">
      <c r="A14" s="7" t="s">
        <v>7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</row>
    <row r="15" spans="1:6" x14ac:dyDescent="0.25">
      <c r="A15" s="7" t="s">
        <v>2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</row>
    <row r="16" spans="1:6" x14ac:dyDescent="0.25">
      <c r="A16" s="7" t="s">
        <v>3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</row>
    <row r="17" spans="1:15" x14ac:dyDescent="0.25">
      <c r="A17" s="7" t="s">
        <v>1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</row>
    <row r="18" spans="1:15" x14ac:dyDescent="0.25">
      <c r="A18" s="7" t="s">
        <v>11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I18" s="33" t="s">
        <v>88</v>
      </c>
      <c r="J18" s="33"/>
      <c r="K18" s="33"/>
      <c r="L18" s="33"/>
      <c r="M18" s="33"/>
      <c r="N18" s="33"/>
      <c r="O18" s="33"/>
    </row>
    <row r="19" spans="1:15" x14ac:dyDescent="0.25">
      <c r="A19" s="7" t="s">
        <v>10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I19" s="33"/>
      <c r="J19" s="33"/>
      <c r="K19" s="33"/>
      <c r="L19" s="33"/>
      <c r="M19" s="33"/>
      <c r="N19" s="33"/>
      <c r="O19" s="33"/>
    </row>
    <row r="20" spans="1:15" x14ac:dyDescent="0.25">
      <c r="A20" s="7" t="s">
        <v>8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I20" s="33"/>
      <c r="J20" s="33"/>
      <c r="K20" s="33"/>
      <c r="L20" s="33"/>
      <c r="M20" s="33"/>
      <c r="N20" s="33"/>
      <c r="O20" s="33"/>
    </row>
    <row r="21" spans="1:15" x14ac:dyDescent="0.25">
      <c r="A21" s="7" t="s">
        <v>4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I21" s="33"/>
      <c r="J21" s="33"/>
      <c r="K21" s="33"/>
      <c r="L21" s="33"/>
      <c r="M21" s="33"/>
      <c r="N21" s="33"/>
      <c r="O21" s="33"/>
    </row>
    <row r="22" spans="1:15" x14ac:dyDescent="0.25">
      <c r="A22" s="7" t="s">
        <v>43</v>
      </c>
      <c r="B22" s="9">
        <f>SUM(B12:B21)</f>
        <v>0</v>
      </c>
      <c r="C22" s="9">
        <f>SUM(C12:C21)</f>
        <v>0</v>
      </c>
      <c r="D22" s="9">
        <f>SUM(D12:D21)</f>
        <v>0</v>
      </c>
      <c r="E22" s="9">
        <f>SUM(E12:E21)</f>
        <v>0</v>
      </c>
      <c r="F22" s="9">
        <f>SUM(F12:F21)</f>
        <v>0</v>
      </c>
      <c r="I22" s="33"/>
      <c r="J22" s="33"/>
      <c r="K22" s="33"/>
      <c r="L22" s="33"/>
      <c r="M22" s="33"/>
      <c r="N22" s="33"/>
      <c r="O22" s="33"/>
    </row>
    <row r="23" spans="1:15" x14ac:dyDescent="0.25">
      <c r="A23" s="10"/>
      <c r="B23" s="10"/>
      <c r="C23" s="10"/>
      <c r="D23" s="10"/>
      <c r="E23" s="10"/>
      <c r="F23" s="10"/>
      <c r="I23" s="33"/>
      <c r="J23" s="33"/>
      <c r="K23" s="33"/>
      <c r="L23" s="33"/>
      <c r="M23" s="33"/>
      <c r="N23" s="33"/>
      <c r="O23" s="33"/>
    </row>
    <row r="24" spans="1:15" x14ac:dyDescent="0.25">
      <c r="A24" s="3" t="s">
        <v>44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</row>
    <row r="25" spans="1:15" x14ac:dyDescent="0.25">
      <c r="A25" s="10"/>
      <c r="B25" s="10"/>
      <c r="C25" s="10"/>
      <c r="D25" s="10"/>
      <c r="E25" s="10"/>
      <c r="F25" s="10"/>
    </row>
    <row r="26" spans="1:15" x14ac:dyDescent="0.25">
      <c r="A26" s="3" t="s">
        <v>20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</row>
    <row r="27" spans="1:15" x14ac:dyDescent="0.25">
      <c r="A27" s="10"/>
      <c r="B27" s="10"/>
      <c r="C27" s="10"/>
      <c r="D27" s="10"/>
      <c r="E27" s="10"/>
      <c r="F27" s="10"/>
    </row>
    <row r="28" spans="1:15" x14ac:dyDescent="0.25">
      <c r="A28" s="12" t="s">
        <v>45</v>
      </c>
      <c r="B28" s="13">
        <f>B22+B24+B26</f>
        <v>0</v>
      </c>
      <c r="C28" s="13">
        <f>C22+C24+C26</f>
        <v>0</v>
      </c>
      <c r="D28" s="13">
        <f>D22+D24+D26</f>
        <v>0</v>
      </c>
      <c r="E28" s="13">
        <f>E22+E24+E26</f>
        <v>0</v>
      </c>
      <c r="F28" s="13">
        <f>F22+F24+F26</f>
        <v>0</v>
      </c>
    </row>
  </sheetData>
  <mergeCells count="1">
    <mergeCell ref="I18:O2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zoomScaleNormal="100" workbookViewId="0">
      <pane ySplit="3" topLeftCell="A4" activePane="bottomLeft" state="frozen"/>
      <selection pane="bottomLeft" activeCell="E11" sqref="E11"/>
    </sheetView>
  </sheetViews>
  <sheetFormatPr defaultColWidth="8.7109375" defaultRowHeight="15" x14ac:dyDescent="0.25"/>
  <cols>
    <col min="1" max="1" width="15" customWidth="1"/>
    <col min="2" max="5" width="22" customWidth="1"/>
    <col min="6" max="10" width="17.85546875" customWidth="1"/>
    <col min="11" max="13" width="13" customWidth="1"/>
  </cols>
  <sheetData>
    <row r="1" spans="1:11" x14ac:dyDescent="0.25">
      <c r="A1" s="14" t="s">
        <v>46</v>
      </c>
      <c r="B1" s="5" t="s">
        <v>36</v>
      </c>
      <c r="D1" s="14" t="s">
        <v>47</v>
      </c>
      <c r="E1" s="5" t="s">
        <v>33</v>
      </c>
      <c r="F1" s="15" t="s">
        <v>48</v>
      </c>
      <c r="G1" s="16" t="s">
        <v>35</v>
      </c>
      <c r="H1" s="5"/>
      <c r="J1" s="14"/>
      <c r="K1" s="5"/>
    </row>
    <row r="3" spans="1:11" ht="24" customHeight="1" x14ac:dyDescent="0.25">
      <c r="A3" s="2" t="s">
        <v>49</v>
      </c>
      <c r="B3" s="2" t="s">
        <v>50</v>
      </c>
      <c r="C3" s="2" t="s">
        <v>51</v>
      </c>
      <c r="D3" s="2" t="s">
        <v>52</v>
      </c>
      <c r="E3" s="2" t="s">
        <v>53</v>
      </c>
      <c r="F3" s="2" t="s">
        <v>38</v>
      </c>
      <c r="G3" s="2" t="s">
        <v>39</v>
      </c>
      <c r="H3" s="2" t="s">
        <v>40</v>
      </c>
      <c r="I3" s="2" t="s">
        <v>41</v>
      </c>
      <c r="J3" s="2" t="s">
        <v>42</v>
      </c>
    </row>
    <row r="4" spans="1:11" x14ac:dyDescent="0.25">
      <c r="A4" s="17" t="s">
        <v>34</v>
      </c>
      <c r="B4" s="16" t="s">
        <v>35</v>
      </c>
      <c r="C4" s="3" t="s">
        <v>5</v>
      </c>
      <c r="D4" s="3" t="s">
        <v>6</v>
      </c>
      <c r="E4" s="3">
        <v>5101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</row>
    <row r="6" spans="1:11" x14ac:dyDescent="0.25">
      <c r="A6" s="4"/>
    </row>
    <row r="7" spans="1:11" x14ac:dyDescent="0.25">
      <c r="A7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"/>
  <sheetViews>
    <sheetView zoomScaleNormal="100" workbookViewId="0">
      <pane ySplit="3" topLeftCell="A4" activePane="bottomLeft" state="frozen"/>
      <selection pane="bottomLeft" activeCell="A6" sqref="A6:XFD12"/>
    </sheetView>
  </sheetViews>
  <sheetFormatPr defaultColWidth="8.7109375" defaultRowHeight="15" x14ac:dyDescent="0.25"/>
  <cols>
    <col min="1" max="1" width="11" customWidth="1"/>
    <col min="2" max="2" width="14" customWidth="1"/>
    <col min="3" max="3" width="18" customWidth="1"/>
    <col min="4" max="4" width="16" customWidth="1"/>
    <col min="5" max="5" width="20" customWidth="1"/>
    <col min="6" max="6" width="14" customWidth="1"/>
    <col min="7" max="7" width="12" customWidth="1"/>
    <col min="8" max="8" width="16" customWidth="1"/>
    <col min="9" max="9" width="13" customWidth="1"/>
    <col min="10" max="10" width="14" customWidth="1"/>
    <col min="11" max="11" width="13" customWidth="1"/>
    <col min="12" max="13" width="12" customWidth="1"/>
    <col min="14" max="14" width="11" customWidth="1"/>
    <col min="15" max="16" width="12" customWidth="1"/>
    <col min="17" max="17" width="11" customWidth="1"/>
    <col min="18" max="18" width="24" customWidth="1"/>
    <col min="19" max="19" width="24.7109375" customWidth="1"/>
    <col min="20" max="20" width="12" customWidth="1"/>
  </cols>
  <sheetData>
    <row r="1" spans="1:20" x14ac:dyDescent="0.25">
      <c r="A1" s="19" t="s">
        <v>27</v>
      </c>
      <c r="B1" s="20" t="s">
        <v>54</v>
      </c>
      <c r="C1" s="19" t="s">
        <v>48</v>
      </c>
      <c r="D1" s="20" t="s">
        <v>54</v>
      </c>
      <c r="Q1" s="21" t="s">
        <v>55</v>
      </c>
    </row>
    <row r="2" spans="1:20" x14ac:dyDescent="0.25">
      <c r="L2" s="1" t="s">
        <v>56</v>
      </c>
      <c r="M2" s="1"/>
      <c r="N2" s="1"/>
      <c r="O2" s="1" t="s">
        <v>57</v>
      </c>
      <c r="P2" s="1"/>
      <c r="Q2" s="1"/>
      <c r="R2" s="1"/>
      <c r="S2" s="1"/>
      <c r="T2" s="1"/>
    </row>
    <row r="3" spans="1:20" ht="24" x14ac:dyDescent="0.25">
      <c r="A3" s="22" t="s">
        <v>27</v>
      </c>
      <c r="B3" s="22" t="s">
        <v>58</v>
      </c>
      <c r="C3" s="22" t="s">
        <v>48</v>
      </c>
      <c r="D3" s="22" t="s">
        <v>37</v>
      </c>
      <c r="E3" s="22" t="s">
        <v>52</v>
      </c>
      <c r="F3" s="22" t="s">
        <v>59</v>
      </c>
      <c r="G3" s="22" t="s">
        <v>60</v>
      </c>
      <c r="H3" s="22" t="s">
        <v>61</v>
      </c>
      <c r="I3" s="22" t="s">
        <v>38</v>
      </c>
      <c r="J3" s="22" t="s">
        <v>39</v>
      </c>
      <c r="K3" s="22" t="s">
        <v>62</v>
      </c>
      <c r="L3" s="22" t="s">
        <v>63</v>
      </c>
      <c r="M3" s="22" t="s">
        <v>64</v>
      </c>
      <c r="N3" s="22" t="s">
        <v>65</v>
      </c>
      <c r="O3" s="22" t="s">
        <v>66</v>
      </c>
      <c r="P3" s="22" t="s">
        <v>67</v>
      </c>
      <c r="Q3" s="22" t="s">
        <v>65</v>
      </c>
      <c r="R3" s="22" t="s">
        <v>68</v>
      </c>
      <c r="S3" s="22" t="s">
        <v>69</v>
      </c>
    </row>
    <row r="4" spans="1:20" x14ac:dyDescent="0.25">
      <c r="A4" s="23" t="s">
        <v>36</v>
      </c>
      <c r="B4" s="23" t="s">
        <v>33</v>
      </c>
      <c r="C4" s="23" t="s">
        <v>35</v>
      </c>
      <c r="D4" s="23" t="s">
        <v>5</v>
      </c>
      <c r="E4" s="23" t="s">
        <v>6</v>
      </c>
      <c r="F4" s="24">
        <v>5101</v>
      </c>
      <c r="G4" s="23"/>
      <c r="H4" s="23"/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f>L4+M4</f>
        <v>0</v>
      </c>
      <c r="O4" s="25">
        <v>0</v>
      </c>
      <c r="P4" s="25">
        <v>0</v>
      </c>
      <c r="Q4" s="25">
        <f>O4+P4</f>
        <v>0</v>
      </c>
      <c r="R4" s="23"/>
      <c r="S4" s="23" t="s">
        <v>83</v>
      </c>
    </row>
  </sheetData>
  <mergeCells count="3">
    <mergeCell ref="O2:Q2"/>
    <mergeCell ref="R2:T2"/>
    <mergeCell ref="L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"/>
  <sheetViews>
    <sheetView zoomScaleNormal="100" workbookViewId="0">
      <selection activeCell="D1" sqref="D1"/>
    </sheetView>
  </sheetViews>
  <sheetFormatPr defaultColWidth="8.7109375" defaultRowHeight="15" x14ac:dyDescent="0.25"/>
  <cols>
    <col min="1" max="1" width="11" customWidth="1"/>
    <col min="2" max="2" width="18" customWidth="1"/>
    <col min="3" max="3" width="10" customWidth="1"/>
    <col min="4" max="4" width="26" customWidth="1"/>
    <col min="5" max="5" width="8" customWidth="1"/>
    <col min="6" max="8" width="13" customWidth="1"/>
    <col min="9" max="9" width="9" customWidth="1"/>
    <col min="10" max="10" width="10" customWidth="1"/>
    <col min="11" max="11" width="11" customWidth="1"/>
    <col min="12" max="12" width="9" customWidth="1"/>
    <col min="13" max="13" width="10" customWidth="1"/>
    <col min="14" max="14" width="11" customWidth="1"/>
    <col min="15" max="15" width="12" customWidth="1"/>
  </cols>
  <sheetData>
    <row r="1" spans="1:14" x14ac:dyDescent="0.25">
      <c r="A1" s="19" t="s">
        <v>27</v>
      </c>
      <c r="B1" s="20" t="s">
        <v>54</v>
      </c>
      <c r="C1" s="19" t="s">
        <v>58</v>
      </c>
      <c r="D1" s="20" t="s">
        <v>54</v>
      </c>
      <c r="E1" s="19" t="s">
        <v>48</v>
      </c>
      <c r="F1" s="20" t="s">
        <v>54</v>
      </c>
      <c r="N1" s="21" t="s">
        <v>55</v>
      </c>
    </row>
    <row r="2" spans="1:14" x14ac:dyDescent="0.25">
      <c r="I2" s="31" t="s">
        <v>70</v>
      </c>
      <c r="J2" s="31"/>
      <c r="K2" s="31"/>
      <c r="L2" s="31" t="s">
        <v>71</v>
      </c>
      <c r="M2" s="31"/>
      <c r="N2" s="31"/>
    </row>
    <row r="3" spans="1:14" ht="24" x14ac:dyDescent="0.25">
      <c r="A3" s="22" t="s">
        <v>49</v>
      </c>
      <c r="B3" s="22" t="s">
        <v>50</v>
      </c>
      <c r="C3" s="22" t="s">
        <v>0</v>
      </c>
      <c r="D3" s="22" t="s">
        <v>52</v>
      </c>
      <c r="E3" s="22" t="s">
        <v>72</v>
      </c>
      <c r="F3" s="22" t="s">
        <v>73</v>
      </c>
      <c r="G3" s="22" t="s">
        <v>74</v>
      </c>
      <c r="H3" s="22" t="s">
        <v>75</v>
      </c>
      <c r="I3" s="22" t="s">
        <v>76</v>
      </c>
      <c r="J3" s="22" t="s">
        <v>77</v>
      </c>
      <c r="K3" s="22" t="s">
        <v>78</v>
      </c>
      <c r="L3" s="22" t="s">
        <v>79</v>
      </c>
      <c r="M3" s="22" t="s">
        <v>80</v>
      </c>
      <c r="N3" s="22" t="s">
        <v>81</v>
      </c>
    </row>
    <row r="4" spans="1:14" x14ac:dyDescent="0.25">
      <c r="A4" s="26" t="s">
        <v>34</v>
      </c>
      <c r="B4" s="26" t="s">
        <v>35</v>
      </c>
      <c r="C4" s="27" t="s">
        <v>12</v>
      </c>
      <c r="D4" s="26" t="s">
        <v>13</v>
      </c>
      <c r="E4" s="26"/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f>I4*J4</f>
        <v>0</v>
      </c>
      <c r="L4" s="28">
        <v>0</v>
      </c>
      <c r="M4" s="28">
        <v>0</v>
      </c>
      <c r="N4" s="28">
        <f>L4*M4</f>
        <v>0</v>
      </c>
    </row>
    <row r="5" spans="1:14" x14ac:dyDescent="0.25">
      <c r="A5" s="26" t="s">
        <v>34</v>
      </c>
      <c r="B5" s="26" t="s">
        <v>35</v>
      </c>
      <c r="C5" s="27" t="s">
        <v>14</v>
      </c>
      <c r="D5" s="26" t="s">
        <v>15</v>
      </c>
      <c r="E5" s="26"/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f>I5*J5</f>
        <v>0</v>
      </c>
      <c r="L5" s="28">
        <v>0</v>
      </c>
      <c r="M5" s="28">
        <v>0</v>
      </c>
      <c r="N5" s="28">
        <f>L5*M5</f>
        <v>0</v>
      </c>
    </row>
    <row r="6" spans="1:14" x14ac:dyDescent="0.25">
      <c r="A6" s="26" t="s">
        <v>34</v>
      </c>
      <c r="B6" s="26" t="s">
        <v>35</v>
      </c>
      <c r="C6" s="27" t="s">
        <v>16</v>
      </c>
      <c r="D6" s="26" t="s">
        <v>17</v>
      </c>
      <c r="E6" s="26"/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f>I6*J6</f>
        <v>0</v>
      </c>
      <c r="L6" s="28">
        <v>0</v>
      </c>
      <c r="M6" s="28">
        <v>0</v>
      </c>
      <c r="N6" s="28">
        <f>L6*M6</f>
        <v>0</v>
      </c>
    </row>
    <row r="7" spans="1:14" x14ac:dyDescent="0.25">
      <c r="A7" s="26" t="s">
        <v>34</v>
      </c>
      <c r="B7" s="26" t="s">
        <v>35</v>
      </c>
      <c r="C7" s="27" t="s">
        <v>18</v>
      </c>
      <c r="D7" s="26" t="s">
        <v>19</v>
      </c>
      <c r="E7" s="26"/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f>I7*J7</f>
        <v>0</v>
      </c>
      <c r="L7" s="28">
        <v>0</v>
      </c>
      <c r="M7" s="28">
        <v>0</v>
      </c>
      <c r="N7" s="28">
        <f>L7*M7</f>
        <v>0</v>
      </c>
    </row>
    <row r="8" spans="1:14" x14ac:dyDescent="0.25">
      <c r="A8" s="29"/>
      <c r="B8" s="29"/>
      <c r="C8" s="29"/>
      <c r="D8" s="29" t="s">
        <v>82</v>
      </c>
      <c r="E8" s="29"/>
      <c r="F8" s="30">
        <f>SUM(F4:F7)</f>
        <v>0</v>
      </c>
      <c r="G8" s="30">
        <f>SUM(G4:G7)</f>
        <v>0</v>
      </c>
      <c r="H8" s="30">
        <f>SUM(H4:H7)</f>
        <v>0</v>
      </c>
      <c r="I8" s="29"/>
      <c r="J8" s="29"/>
      <c r="K8" s="30">
        <f>SUM(K4:K7)</f>
        <v>0</v>
      </c>
      <c r="L8" s="29"/>
      <c r="M8" s="29"/>
      <c r="N8" s="30">
        <f>SUM(N4:N7)</f>
        <v>0</v>
      </c>
    </row>
  </sheetData>
  <mergeCells count="2">
    <mergeCell ref="I2:K2"/>
    <mergeCell ref="L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"/>
  <sheetViews>
    <sheetView zoomScaleNormal="100" workbookViewId="0">
      <selection activeCell="G22" sqref="G22"/>
    </sheetView>
  </sheetViews>
  <sheetFormatPr defaultColWidth="8.7109375" defaultRowHeight="15" x14ac:dyDescent="0.25"/>
  <cols>
    <col min="1" max="1" width="11" customWidth="1"/>
    <col min="2" max="2" width="18" customWidth="1"/>
    <col min="3" max="3" width="10" customWidth="1"/>
    <col min="4" max="4" width="26" customWidth="1"/>
    <col min="5" max="5" width="8" customWidth="1"/>
    <col min="6" max="8" width="13" customWidth="1"/>
    <col min="9" max="9" width="9" customWidth="1"/>
    <col min="10" max="10" width="10" customWidth="1"/>
    <col min="11" max="11" width="11" customWidth="1"/>
    <col min="12" max="12" width="9" customWidth="1"/>
    <col min="13" max="13" width="10" customWidth="1"/>
    <col min="14" max="14" width="11" customWidth="1"/>
    <col min="15" max="15" width="12" customWidth="1"/>
  </cols>
  <sheetData>
    <row r="1" spans="1:14" x14ac:dyDescent="0.25">
      <c r="A1" s="19" t="s">
        <v>27</v>
      </c>
      <c r="B1" s="20" t="s">
        <v>54</v>
      </c>
      <c r="C1" s="19" t="s">
        <v>58</v>
      </c>
      <c r="D1" s="20" t="s">
        <v>54</v>
      </c>
      <c r="E1" s="19" t="s">
        <v>48</v>
      </c>
      <c r="F1" s="20" t="s">
        <v>54</v>
      </c>
      <c r="N1" s="21" t="s">
        <v>55</v>
      </c>
    </row>
    <row r="2" spans="1:14" x14ac:dyDescent="0.25">
      <c r="J2" s="1" t="s">
        <v>70</v>
      </c>
      <c r="K2" s="1"/>
      <c r="M2" s="1" t="s">
        <v>71</v>
      </c>
      <c r="N2" s="1"/>
    </row>
    <row r="3" spans="1:14" ht="24" x14ac:dyDescent="0.25">
      <c r="A3" s="22" t="s">
        <v>49</v>
      </c>
      <c r="B3" s="22" t="s">
        <v>50</v>
      </c>
      <c r="C3" s="22" t="s">
        <v>0</v>
      </c>
      <c r="D3" s="22" t="s">
        <v>52</v>
      </c>
      <c r="E3" s="22" t="s">
        <v>72</v>
      </c>
      <c r="F3" s="22" t="s">
        <v>73</v>
      </c>
      <c r="G3" s="22" t="s">
        <v>74</v>
      </c>
      <c r="H3" s="22" t="s">
        <v>75</v>
      </c>
      <c r="I3" s="22" t="s">
        <v>76</v>
      </c>
      <c r="J3" s="22" t="s">
        <v>77</v>
      </c>
      <c r="K3" s="22" t="s">
        <v>78</v>
      </c>
      <c r="L3" s="22" t="s">
        <v>79</v>
      </c>
      <c r="M3" s="22" t="s">
        <v>80</v>
      </c>
      <c r="N3" s="22" t="s">
        <v>81</v>
      </c>
    </row>
    <row r="4" spans="1:14" x14ac:dyDescent="0.25">
      <c r="A4" s="26" t="s">
        <v>34</v>
      </c>
      <c r="B4" s="26" t="s">
        <v>35</v>
      </c>
      <c r="C4" s="27" t="s">
        <v>21</v>
      </c>
      <c r="D4" s="26" t="s">
        <v>22</v>
      </c>
      <c r="E4" s="26"/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f>I4*J4</f>
        <v>0</v>
      </c>
      <c r="L4" s="28">
        <v>0</v>
      </c>
      <c r="M4" s="28">
        <v>0</v>
      </c>
      <c r="N4" s="28">
        <f>L4*M4</f>
        <v>0</v>
      </c>
    </row>
    <row r="5" spans="1:14" x14ac:dyDescent="0.25">
      <c r="A5" s="26" t="s">
        <v>34</v>
      </c>
      <c r="B5" s="26" t="s">
        <v>35</v>
      </c>
      <c r="C5" s="27" t="s">
        <v>23</v>
      </c>
      <c r="D5" s="26" t="s">
        <v>24</v>
      </c>
      <c r="E5" s="26"/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f>I5*J5</f>
        <v>0</v>
      </c>
      <c r="L5" s="28">
        <v>0</v>
      </c>
      <c r="M5" s="28">
        <v>0</v>
      </c>
      <c r="N5" s="28">
        <f>L5*M5</f>
        <v>0</v>
      </c>
    </row>
    <row r="6" spans="1:14" x14ac:dyDescent="0.25">
      <c r="A6" s="26" t="s">
        <v>34</v>
      </c>
      <c r="B6" s="26" t="s">
        <v>35</v>
      </c>
      <c r="C6" s="27" t="s">
        <v>25</v>
      </c>
      <c r="D6" s="26" t="s">
        <v>26</v>
      </c>
      <c r="E6" s="26"/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f>I6*J6</f>
        <v>0</v>
      </c>
      <c r="L6" s="28">
        <v>0</v>
      </c>
      <c r="M6" s="28">
        <v>0</v>
      </c>
      <c r="N6" s="28">
        <f>L6*M6</f>
        <v>0</v>
      </c>
    </row>
    <row r="7" spans="1:14" x14ac:dyDescent="0.25">
      <c r="A7" s="29"/>
      <c r="B7" s="29"/>
      <c r="C7" s="29"/>
      <c r="D7" s="29" t="s">
        <v>82</v>
      </c>
      <c r="E7" s="29"/>
      <c r="F7" s="30">
        <f>SUM(F4:F6)</f>
        <v>0</v>
      </c>
      <c r="G7" s="30">
        <f>SUM(G4:G6)</f>
        <v>0</v>
      </c>
      <c r="H7" s="30">
        <f>SUM(H4:H6)</f>
        <v>0</v>
      </c>
      <c r="I7" s="29"/>
      <c r="J7" s="29"/>
      <c r="K7" s="30">
        <f>SUM(K4:K6)</f>
        <v>0</v>
      </c>
      <c r="L7" s="29"/>
      <c r="M7" s="29"/>
      <c r="N7" s="30">
        <f>SUM(N4:N6)</f>
        <v>0</v>
      </c>
    </row>
  </sheetData>
  <mergeCells count="2">
    <mergeCell ref="J2:K2"/>
    <mergeCell ref="M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725A7-9434-4404-AD66-917E1FDCA904}">
  <dimension ref="A1:F2"/>
  <sheetViews>
    <sheetView tabSelected="1" workbookViewId="0">
      <selection activeCell="F25" sqref="F25"/>
    </sheetView>
  </sheetViews>
  <sheetFormatPr defaultRowHeight="15" x14ac:dyDescent="0.25"/>
  <cols>
    <col min="1" max="1" width="11.42578125" bestFit="1" customWidth="1"/>
    <col min="2" max="2" width="27.28515625" bestFit="1" customWidth="1"/>
    <col min="3" max="3" width="14.140625" bestFit="1" customWidth="1"/>
    <col min="4" max="4" width="8.42578125" bestFit="1" customWidth="1"/>
    <col min="5" max="5" width="9.42578125" bestFit="1" customWidth="1"/>
    <col min="6" max="6" width="21.85546875" bestFit="1" customWidth="1"/>
  </cols>
  <sheetData>
    <row r="1" spans="1:6" x14ac:dyDescent="0.25">
      <c r="A1" s="32" t="s">
        <v>84</v>
      </c>
      <c r="B1" s="32" t="s">
        <v>85</v>
      </c>
      <c r="C1" s="32" t="s">
        <v>86</v>
      </c>
      <c r="D1" s="32" t="s">
        <v>27</v>
      </c>
      <c r="E1" s="32" t="s">
        <v>28</v>
      </c>
      <c r="F1" s="32" t="s">
        <v>87</v>
      </c>
    </row>
    <row r="2" spans="1:6" x14ac:dyDescent="0.25">
      <c r="A2" s="10" t="s">
        <v>31</v>
      </c>
      <c r="B2" s="10" t="s">
        <v>32</v>
      </c>
      <c r="C2" s="10">
        <v>9280</v>
      </c>
      <c r="D2" s="10" t="s">
        <v>29</v>
      </c>
      <c r="E2" s="10" t="s">
        <v>30</v>
      </c>
      <c r="F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Home Screen - Summary Report</vt:lpstr>
      <vt:lpstr>2. R&amp;M - Fund-wise Report</vt:lpstr>
      <vt:lpstr>3. R&amp;M - Compiled Report</vt:lpstr>
      <vt:lpstr>4. Power &amp; Fuel Report</vt:lpstr>
      <vt:lpstr>5. Chemical Report</vt:lpstr>
      <vt:lpstr>cost centre wise status report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Raviteja Naik, Guggulotu (रवितेजा नाइक, गुग्गुलोतु)</cp:lastModifiedBy>
  <cp:revision>0</cp:revision>
  <dcterms:created xsi:type="dcterms:W3CDTF">2026-08-26T04:55:56Z</dcterms:created>
  <dcterms:modified xsi:type="dcterms:W3CDTF">2026-08-26T07:12:19Z</dcterms:modified>
  <dc:language>en-US</dc:language>
</cp:coreProperties>
</file>